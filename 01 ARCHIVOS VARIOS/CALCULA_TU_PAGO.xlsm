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showSheetTabs="0" xWindow="240" yWindow="75" windowWidth="20115" windowHeight="8505" tabRatio="0"/>
  </bookViews>
  <sheets>
    <sheet name="Calcula_tu_pago" sheetId="1" r:id="rId1"/>
    <sheet name="Tabla_Riesgos" sheetId="2" r:id="rId2"/>
    <sheet name="Calculo" sheetId="3" r:id="rId3"/>
  </sheets>
  <definedNames>
    <definedName name="TARIFA​">Tabla_Riesgos!$C$5:$C$9</definedName>
  </definedNames>
  <calcPr calcId="125725"/>
</workbook>
</file>

<file path=xl/calcChain.xml><?xml version="1.0" encoding="utf-8"?>
<calcChain xmlns="http://schemas.openxmlformats.org/spreadsheetml/2006/main">
  <c r="E8" i="3"/>
  <c r="E7"/>
  <c r="G6"/>
  <c r="D4" l="1"/>
  <c r="D6" s="1"/>
  <c r="D5" l="1"/>
  <c r="G5" s="1"/>
  <c r="D8"/>
  <c r="G8" s="1"/>
  <c r="D7"/>
  <c r="G7" s="1"/>
  <c r="G9" l="1"/>
  <c r="B7" i="1" s="1"/>
</calcChain>
</file>

<file path=xl/sharedStrings.xml><?xml version="1.0" encoding="utf-8"?>
<sst xmlns="http://schemas.openxmlformats.org/spreadsheetml/2006/main" count="33" uniqueCount="32">
  <si>
    <t>IBC</t>
  </si>
  <si>
    <t>EPS</t>
  </si>
  <si>
    <t>%</t>
  </si>
  <si>
    <t>AFP</t>
  </si>
  <si>
    <t>Días Cotizados</t>
  </si>
  <si>
    <t>CCF</t>
  </si>
  <si>
    <t>CLASE DE RIESGO</t>
  </si>
  <si>
    <t>TARIFA​</t>
  </si>
  <si>
    <t>​ACTIVIDADES</t>
  </si>
  <si>
    <t>​I</t>
  </si>
  <si>
    <t>​Financieras, trabajos de oficina, administrativos, centros educativos, restaurantes.</t>
  </si>
  <si>
    <t>​II</t>
  </si>
  <si>
    <t>​Algunos procesos manufactureros como fabricación de tapetes, tejidos, confecciones y flores artificiales, almacén por departamentos, algunas labores agricolas.</t>
  </si>
  <si>
    <t>​III</t>
  </si>
  <si>
    <t>​Algunos procesos manufactureros como la fabricación de agujas, alcoholes y artículos de cuero.</t>
  </si>
  <si>
    <t>​IV</t>
  </si>
  <si>
    <t>​Procesos manufactureros como fabricación de aceites, cervezas, vidrios, procesos de galvanización, transportes y servicios de vigilancia privada.</t>
  </si>
  <si>
    <t>​V</t>
  </si>
  <si>
    <t>​Areneras, manejo de asbesto, bomberos, manejo de explosivos, construcción y explotación petrolera</t>
  </si>
  <si>
    <t>ARP (Seleccione el Tipo de riesgo)</t>
  </si>
  <si>
    <t>TOTAL A PAGAR</t>
  </si>
  <si>
    <t>Seleccione los aportes a realizar</t>
  </si>
  <si>
    <t>Calculo sobre 30 días</t>
  </si>
  <si>
    <t>T.R</t>
  </si>
  <si>
    <t>Valida</t>
  </si>
  <si>
    <t>Valores</t>
  </si>
  <si>
    <t>Resultado</t>
  </si>
  <si>
    <t>Ingrese IBC (Ingreso base de cotización)</t>
  </si>
  <si>
    <t>$ Valor a pagar</t>
  </si>
  <si>
    <t>Para mayor Información Comunicate a las líneas</t>
  </si>
  <si>
    <t xml:space="preserve">    BOGOTÁ: (1) 4446634
    CALI: (2) 5540577
    MEDELLÍN: (4) 5146669
    BUCARAMANGA: (7) 6438000
    CARTAGENA: (5) 6553003
    PEREIRA: (6) 3139300
    BARRANQUILLA: (5) 3618850
    RESTO DEL PAÍS: 018000971971</t>
  </si>
  <si>
    <t>Consulte  su nivel de riesgos</t>
  </si>
</sst>
</file>

<file path=xl/styles.xml><?xml version="1.0" encoding="utf-8"?>
<styleSheet xmlns="http://schemas.openxmlformats.org/spreadsheetml/2006/main">
  <numFmts count="4">
    <numFmt numFmtId="164" formatCode="_([$$-240A]\ * #,##0.00_);_([$$-240A]\ * \(#,##0.00\);_([$$-240A]\ * &quot;-&quot;??_);_(@_)"/>
    <numFmt numFmtId="165" formatCode="_([$$-240A]\ * #,##0_);_([$$-240A]\ * \(#,##0\);_([$$-240A]\ * &quot;-&quot;??_);_(@_)"/>
    <numFmt numFmtId="166" formatCode="0.0%"/>
    <numFmt numFmtId="167" formatCode="0.000%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4C2600"/>
      <name val="Arial"/>
      <family val="2"/>
    </font>
    <font>
      <sz val="10"/>
      <color rgb="FF4C2600"/>
      <name val="Arial"/>
      <family val="2"/>
    </font>
    <font>
      <sz val="8"/>
      <name val="Tahoma"/>
      <family val="2"/>
    </font>
    <font>
      <i/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10"/>
      <color theme="10"/>
      <name val="Calibri"/>
      <family val="2"/>
    </font>
    <font>
      <sz val="10"/>
      <name val="Calibri"/>
      <family val="2"/>
      <scheme val="minor"/>
    </font>
    <font>
      <i/>
      <sz val="9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5BD9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</cellStyleXfs>
  <cellXfs count="33">
    <xf numFmtId="0" fontId="0" fillId="0" borderId="0" xfId="0"/>
    <xf numFmtId="0" fontId="3" fillId="0" borderId="0" xfId="0" applyFont="1"/>
    <xf numFmtId="0" fontId="4" fillId="0" borderId="0" xfId="0" applyFont="1"/>
    <xf numFmtId="0" fontId="6" fillId="2" borderId="1" xfId="0" applyFont="1" applyFill="1" applyBorder="1" applyAlignment="1">
      <alignment vertical="top" wrapText="1"/>
    </xf>
    <xf numFmtId="0" fontId="5" fillId="2" borderId="1" xfId="0" applyFont="1" applyFill="1" applyBorder="1" applyAlignment="1">
      <alignment horizontal="center" vertical="top" wrapText="1"/>
    </xf>
    <xf numFmtId="0" fontId="6" fillId="2" borderId="1" xfId="0" applyFont="1" applyFill="1" applyBorder="1" applyAlignment="1">
      <alignment horizontal="center" vertical="center" wrapText="1"/>
    </xf>
    <xf numFmtId="167" fontId="6" fillId="2" borderId="1" xfId="1" applyNumberFormat="1" applyFont="1" applyFill="1" applyBorder="1" applyAlignment="1">
      <alignment horizontal="center" vertical="center" wrapText="1"/>
    </xf>
    <xf numFmtId="167" fontId="6" fillId="2" borderId="1" xfId="0" applyNumberFormat="1" applyFont="1" applyFill="1" applyBorder="1" applyAlignment="1">
      <alignment horizontal="center" vertical="center" wrapText="1"/>
    </xf>
    <xf numFmtId="0" fontId="4" fillId="3" borderId="0" xfId="0" applyFont="1" applyFill="1"/>
    <xf numFmtId="0" fontId="3" fillId="3" borderId="0" xfId="0" applyFont="1" applyFill="1"/>
    <xf numFmtId="0" fontId="2" fillId="4" borderId="0" xfId="0" applyFont="1" applyFill="1"/>
    <xf numFmtId="0" fontId="0" fillId="4" borderId="0" xfId="0" applyFill="1"/>
    <xf numFmtId="0" fontId="4" fillId="3" borderId="0" xfId="0" applyFont="1" applyFill="1" applyAlignment="1">
      <alignment horizontal="center" vertical="center"/>
    </xf>
    <xf numFmtId="164" fontId="3" fillId="3" borderId="0" xfId="0" applyNumberFormat="1" applyFont="1" applyFill="1" applyBorder="1" applyAlignment="1">
      <alignment horizontal="center" vertical="center"/>
    </xf>
    <xf numFmtId="0" fontId="8" fillId="3" borderId="0" xfId="0" applyFont="1" applyFill="1"/>
    <xf numFmtId="165" fontId="3" fillId="5" borderId="2" xfId="0" applyNumberFormat="1" applyFont="1" applyFill="1" applyBorder="1" applyAlignment="1" applyProtection="1">
      <alignment horizontal="center" vertical="center"/>
      <protection hidden="1"/>
    </xf>
    <xf numFmtId="165" fontId="3" fillId="5" borderId="2" xfId="0" applyNumberFormat="1" applyFont="1" applyFill="1" applyBorder="1" applyAlignment="1" applyProtection="1">
      <alignment horizontal="center" vertical="center"/>
      <protection locked="0"/>
    </xf>
    <xf numFmtId="0" fontId="10" fillId="3" borderId="0" xfId="2" applyFont="1" applyFill="1" applyAlignment="1" applyProtection="1">
      <alignment horizontal="center" vertical="center"/>
    </xf>
    <xf numFmtId="0" fontId="11" fillId="3" borderId="0" xfId="0" applyFont="1" applyFill="1"/>
    <xf numFmtId="0" fontId="2" fillId="0" borderId="0" xfId="0" applyFont="1" applyFill="1"/>
    <xf numFmtId="0" fontId="12" fillId="0" borderId="0" xfId="0" applyFont="1" applyFill="1" applyAlignment="1">
      <alignment horizontal="left"/>
    </xf>
    <xf numFmtId="0" fontId="13" fillId="0" borderId="0" xfId="0" applyFont="1" applyFill="1"/>
    <xf numFmtId="0" fontId="14" fillId="0" borderId="0" xfId="0" applyFont="1" applyFill="1"/>
    <xf numFmtId="0" fontId="14" fillId="0" borderId="0" xfId="0" applyFont="1" applyFill="1" applyAlignment="1">
      <alignment horizontal="center"/>
    </xf>
    <xf numFmtId="0" fontId="14" fillId="0" borderId="0" xfId="0" applyFont="1" applyFill="1" applyAlignment="1">
      <alignment horizontal="center" vertical="center"/>
    </xf>
    <xf numFmtId="165" fontId="13" fillId="0" borderId="0" xfId="0" applyNumberFormat="1" applyFont="1" applyFill="1"/>
    <xf numFmtId="9" fontId="13" fillId="0" borderId="0" xfId="0" applyNumberFormat="1" applyFont="1" applyFill="1"/>
    <xf numFmtId="166" fontId="13" fillId="0" borderId="0" xfId="0" applyNumberFormat="1" applyFont="1" applyFill="1"/>
    <xf numFmtId="3" fontId="13" fillId="0" borderId="0" xfId="0" applyNumberFormat="1" applyFont="1" applyFill="1"/>
    <xf numFmtId="167" fontId="13" fillId="0" borderId="0" xfId="0" applyNumberFormat="1" applyFont="1" applyFill="1" applyAlignment="1">
      <alignment horizontal="right"/>
    </xf>
    <xf numFmtId="165" fontId="14" fillId="0" borderId="0" xfId="0" applyNumberFormat="1" applyFont="1" applyFill="1"/>
    <xf numFmtId="0" fontId="11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wrapText="1"/>
    </xf>
  </cellXfs>
  <cellStyles count="3">
    <cellStyle name="Hipervínculo" xfId="2" builtinId="8"/>
    <cellStyle name="Normal" xfId="0" builtinId="0"/>
    <cellStyle name="Porcentual" xfId="1" builtinId="5"/>
  </cellStyles>
  <dxfs count="0"/>
  <tableStyles count="0" defaultTableStyle="TableStyleMedium9" defaultPivotStyle="PivotStyleLight16"/>
  <colors>
    <mruColors>
      <color rgb="FF0000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alcula_tu_pag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0</xdr:rowOff>
    </xdr:from>
    <xdr:to>
      <xdr:col>1</xdr:col>
      <xdr:colOff>1641873</xdr:colOff>
      <xdr:row>0</xdr:row>
      <xdr:rowOff>710142</xdr:rowOff>
    </xdr:to>
    <xdr:pic>
      <xdr:nvPicPr>
        <xdr:cNvPr id="3" name="2 Imagen" descr="logo_azul-simple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62025" y="0"/>
          <a:ext cx="1441848" cy="710142"/>
        </a:xfrm>
        <a:prstGeom prst="rect">
          <a:avLst/>
        </a:prstGeom>
      </xdr:spPr>
    </xdr:pic>
    <xdr:clientData/>
  </xdr:twoCellAnchor>
  <xdr:oneCellAnchor>
    <xdr:from>
      <xdr:col>0</xdr:col>
      <xdr:colOff>466725</xdr:colOff>
      <xdr:row>0</xdr:row>
      <xdr:rowOff>752475</xdr:rowOff>
    </xdr:from>
    <xdr:ext cx="2457917" cy="264560"/>
    <xdr:sp macro="" textlink="">
      <xdr:nvSpPr>
        <xdr:cNvPr id="5" name="4 CuadroTexto"/>
        <xdr:cNvSpPr txBox="1"/>
      </xdr:nvSpPr>
      <xdr:spPr>
        <a:xfrm>
          <a:off x="466725" y="752475"/>
          <a:ext cx="24579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s-CO" sz="1100" b="1">
              <a:solidFill>
                <a:srgbClr val="FFFF00"/>
              </a:solidFill>
              <a:latin typeface="Calibri"/>
            </a:rPr>
            <a:t>&gt; </a:t>
          </a:r>
          <a:r>
            <a:rPr lang="es-CO" sz="1100">
              <a:solidFill>
                <a:schemeClr val="bg1"/>
              </a:solidFill>
              <a:latin typeface="Calibri"/>
            </a:rPr>
            <a:t> </a:t>
          </a:r>
          <a:r>
            <a:rPr lang="es-CO" sz="1100">
              <a:solidFill>
                <a:schemeClr val="bg1"/>
              </a:solidFill>
              <a:latin typeface="+mn-lt"/>
            </a:rPr>
            <a:t>Si</a:t>
          </a:r>
          <a:r>
            <a:rPr lang="es-CO" sz="1100" baseline="0">
              <a:solidFill>
                <a:schemeClr val="bg1"/>
              </a:solidFill>
              <a:latin typeface="+mn-lt"/>
            </a:rPr>
            <a:t> eres Independiente c</a:t>
          </a:r>
          <a:r>
            <a:rPr lang="es-CO" sz="1100">
              <a:solidFill>
                <a:schemeClr val="bg1"/>
              </a:solidFill>
              <a:latin typeface="+mn-lt"/>
            </a:rPr>
            <a:t>alcula tu pago</a:t>
          </a:r>
        </a:p>
      </xdr:txBody>
    </xdr:sp>
    <xdr:clientData/>
  </xdr:oneCellAnchor>
  <xdr:twoCellAnchor>
    <xdr:from>
      <xdr:col>0</xdr:col>
      <xdr:colOff>133350</xdr:colOff>
      <xdr:row>18</xdr:row>
      <xdr:rowOff>76200</xdr:rowOff>
    </xdr:from>
    <xdr:to>
      <xdr:col>2</xdr:col>
      <xdr:colOff>523875</xdr:colOff>
      <xdr:row>18</xdr:row>
      <xdr:rowOff>76200</xdr:rowOff>
    </xdr:to>
    <xdr:cxnSp macro="">
      <xdr:nvCxnSpPr>
        <xdr:cNvPr id="6" name="5 Conector recto"/>
        <xdr:cNvCxnSpPr/>
      </xdr:nvCxnSpPr>
      <xdr:spPr>
        <a:xfrm>
          <a:off x="133350" y="4829175"/>
          <a:ext cx="292417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285750</xdr:colOff>
      <xdr:row>0</xdr:row>
      <xdr:rowOff>752475</xdr:rowOff>
    </xdr:from>
    <xdr:ext cx="2457917" cy="264560"/>
    <xdr:sp macro="" textlink="">
      <xdr:nvSpPr>
        <xdr:cNvPr id="3" name="2 CuadroTexto">
          <a:hlinkClick xmlns:r="http://schemas.openxmlformats.org/officeDocument/2006/relationships" r:id="rId1"/>
        </xdr:cNvPr>
        <xdr:cNvSpPr txBox="1"/>
      </xdr:nvSpPr>
      <xdr:spPr>
        <a:xfrm>
          <a:off x="533400" y="752475"/>
          <a:ext cx="245791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s-CO" sz="1100" b="1">
              <a:solidFill>
                <a:srgbClr val="FFFF00"/>
              </a:solidFill>
              <a:latin typeface="Calibri"/>
            </a:rPr>
            <a:t>&gt; </a:t>
          </a:r>
          <a:r>
            <a:rPr lang="es-CO" sz="1100">
              <a:solidFill>
                <a:schemeClr val="bg1"/>
              </a:solidFill>
              <a:latin typeface="Calibri"/>
            </a:rPr>
            <a:t> </a:t>
          </a:r>
          <a:r>
            <a:rPr lang="es-CO" sz="1100">
              <a:solidFill>
                <a:schemeClr val="bg1"/>
              </a:solidFill>
              <a:latin typeface="+mn-lt"/>
            </a:rPr>
            <a:t>Si</a:t>
          </a:r>
          <a:r>
            <a:rPr lang="es-CO" sz="1100" baseline="0">
              <a:solidFill>
                <a:schemeClr val="bg1"/>
              </a:solidFill>
              <a:latin typeface="+mn-lt"/>
            </a:rPr>
            <a:t> eres Independiente c</a:t>
          </a:r>
          <a:r>
            <a:rPr lang="es-CO" sz="1100">
              <a:solidFill>
                <a:schemeClr val="bg1"/>
              </a:solidFill>
              <a:latin typeface="+mn-lt"/>
            </a:rPr>
            <a:t>alcula tu pago</a:t>
          </a:r>
        </a:p>
      </xdr:txBody>
    </xdr:sp>
    <xdr:clientData/>
  </xdr:oneCellAnchor>
  <xdr:twoCellAnchor editAs="oneCell">
    <xdr:from>
      <xdr:col>1</xdr:col>
      <xdr:colOff>714375</xdr:colOff>
      <xdr:row>0</xdr:row>
      <xdr:rowOff>0</xdr:rowOff>
    </xdr:from>
    <xdr:to>
      <xdr:col>3</xdr:col>
      <xdr:colOff>632223</xdr:colOff>
      <xdr:row>0</xdr:row>
      <xdr:rowOff>710142</xdr:rowOff>
    </xdr:to>
    <xdr:pic>
      <xdr:nvPicPr>
        <xdr:cNvPr id="4" name="3 Imagen" descr="logo_azul-simple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962025" y="0"/>
          <a:ext cx="1441848" cy="71014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H23"/>
  <sheetViews>
    <sheetView showGridLines="0" showRowColHeaders="0" tabSelected="1" workbookViewId="0">
      <selection activeCell="B5" sqref="B5"/>
    </sheetView>
  </sheetViews>
  <sheetFormatPr baseColWidth="10" defaultColWidth="0" defaultRowHeight="12.75" zeroHeight="1"/>
  <cols>
    <col min="1" max="1" width="11.42578125" style="1" customWidth="1"/>
    <col min="2" max="2" width="26.5703125" style="1" customWidth="1"/>
    <col min="3" max="3" width="9.7109375" style="1" customWidth="1"/>
    <col min="4" max="6" width="11.42578125" style="1" hidden="1" customWidth="1"/>
    <col min="7" max="8" width="0" style="1" hidden="1" customWidth="1"/>
    <col min="9" max="16384" width="11.42578125" style="1" hidden="1"/>
  </cols>
  <sheetData>
    <row r="1" spans="1:3" ht="64.5" customHeight="1">
      <c r="A1" s="11"/>
      <c r="B1" s="10"/>
      <c r="C1" s="10"/>
    </row>
    <row r="2" spans="1:3" ht="18" customHeight="1">
      <c r="A2" s="11"/>
      <c r="B2" s="10"/>
      <c r="C2" s="10"/>
    </row>
    <row r="3" spans="1:3">
      <c r="A3" s="9"/>
      <c r="B3" s="9"/>
      <c r="C3" s="9"/>
    </row>
    <row r="4" spans="1:3" ht="17.25" customHeight="1">
      <c r="A4" s="9"/>
      <c r="B4" s="12" t="s">
        <v>27</v>
      </c>
      <c r="C4" s="9"/>
    </row>
    <row r="5" spans="1:3" ht="17.25" customHeight="1">
      <c r="A5" s="9"/>
      <c r="B5" s="16"/>
      <c r="C5" s="9"/>
    </row>
    <row r="6" spans="1:3" ht="17.25" customHeight="1">
      <c r="A6" s="9"/>
      <c r="B6" s="12" t="s">
        <v>28</v>
      </c>
      <c r="C6" s="9"/>
    </row>
    <row r="7" spans="1:3" ht="17.25" customHeight="1">
      <c r="A7" s="9"/>
      <c r="B7" s="15">
        <f>Calculo!G9</f>
        <v>0</v>
      </c>
      <c r="C7" s="9"/>
    </row>
    <row r="8" spans="1:3" ht="17.25" customHeight="1">
      <c r="A8" s="9"/>
      <c r="B8" s="13"/>
      <c r="C8" s="9"/>
    </row>
    <row r="9" spans="1:3">
      <c r="A9" s="9"/>
      <c r="B9" s="14" t="s">
        <v>21</v>
      </c>
      <c r="C9" s="9"/>
    </row>
    <row r="10" spans="1:3">
      <c r="A10" s="9"/>
      <c r="B10" s="9"/>
      <c r="C10" s="9"/>
    </row>
    <row r="11" spans="1:3" ht="22.5" customHeight="1">
      <c r="A11" s="9"/>
      <c r="B11" s="9"/>
      <c r="C11" s="9"/>
    </row>
    <row r="12" spans="1:3" ht="22.5" customHeight="1">
      <c r="A12" s="9"/>
      <c r="B12" s="9"/>
      <c r="C12" s="9"/>
    </row>
    <row r="13" spans="1:3">
      <c r="A13" s="9"/>
      <c r="B13" s="9"/>
      <c r="C13" s="9"/>
    </row>
    <row r="14" spans="1:3">
      <c r="A14" s="9"/>
      <c r="B14" s="9"/>
      <c r="C14" s="9"/>
    </row>
    <row r="15" spans="1:3">
      <c r="A15" s="9"/>
      <c r="B15" s="9"/>
      <c r="C15" s="9"/>
    </row>
    <row r="16" spans="1:3">
      <c r="A16" s="9"/>
      <c r="B16" s="9"/>
      <c r="C16" s="9"/>
    </row>
    <row r="17" spans="1:3" ht="21" customHeight="1">
      <c r="A17" s="9"/>
      <c r="B17" s="17" t="s">
        <v>31</v>
      </c>
      <c r="C17" s="9"/>
    </row>
    <row r="18" spans="1:3" ht="27" customHeight="1">
      <c r="A18" s="9"/>
      <c r="B18" s="9"/>
      <c r="C18" s="9"/>
    </row>
    <row r="19" spans="1:3" ht="16.5" customHeight="1">
      <c r="A19" s="9"/>
      <c r="B19" s="9"/>
      <c r="C19" s="9"/>
    </row>
    <row r="20" spans="1:3" ht="16.5" customHeight="1">
      <c r="A20" s="31" t="s">
        <v>29</v>
      </c>
      <c r="B20" s="31"/>
      <c r="C20" s="31"/>
    </row>
    <row r="21" spans="1:3" ht="107.25" customHeight="1">
      <c r="A21" s="32" t="s">
        <v>30</v>
      </c>
      <c r="B21" s="32"/>
      <c r="C21" s="32"/>
    </row>
    <row r="22" spans="1:3" ht="22.5" customHeight="1">
      <c r="A22" s="18"/>
      <c r="B22" s="18"/>
      <c r="C22" s="18"/>
    </row>
    <row r="23" spans="1:3"/>
  </sheetData>
  <mergeCells count="2">
    <mergeCell ref="A20:C20"/>
    <mergeCell ref="A21:C21"/>
  </mergeCells>
  <dataValidations count="1">
    <dataValidation type="whole" allowBlank="1" showInputMessage="1" showErrorMessage="1" error="El valor del IBC no puede ser inferior al SMMLV ($ 689.455)" sqref="B5">
      <formula1>689455</formula1>
      <formula2>10000000000000000</formula2>
    </dataValidation>
  </dataValidations>
  <hyperlinks>
    <hyperlink ref="B17" location="Tabla_Riesgos!A1" display="Tabla nivel de riesgos"/>
  </hyperlinks>
  <pageMargins left="0.7" right="0.7" top="0.75" bottom="0.75" header="0.3" footer="0.3"/>
  <pageSetup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F12"/>
  <sheetViews>
    <sheetView showGridLines="0" showRowColHeaders="0" workbookViewId="0"/>
  </sheetViews>
  <sheetFormatPr baseColWidth="10" defaultColWidth="0" defaultRowHeight="12.75" zeroHeight="1"/>
  <cols>
    <col min="1" max="1" width="3.7109375" style="1" customWidth="1"/>
    <col min="2" max="4" width="11.42578125" style="1" customWidth="1"/>
    <col min="5" max="5" width="84.7109375" style="1" customWidth="1"/>
    <col min="6" max="6" width="11.42578125" style="1" customWidth="1"/>
    <col min="7" max="16384" width="11.42578125" style="1" hidden="1"/>
  </cols>
  <sheetData>
    <row r="1" spans="1:6" ht="64.5" customHeight="1">
      <c r="A1" s="11"/>
      <c r="B1" s="10"/>
      <c r="C1" s="10"/>
      <c r="D1" s="10"/>
      <c r="E1" s="10"/>
      <c r="F1" s="10"/>
    </row>
    <row r="2" spans="1:6" ht="18" customHeight="1">
      <c r="A2" s="11"/>
      <c r="B2" s="11"/>
      <c r="C2" s="11"/>
      <c r="D2" s="11"/>
      <c r="E2" s="11"/>
      <c r="F2" s="11"/>
    </row>
    <row r="3" spans="1:6">
      <c r="A3" s="9"/>
      <c r="B3" s="9"/>
      <c r="C3" s="9"/>
      <c r="D3" s="9"/>
      <c r="E3" s="9"/>
      <c r="F3" s="9"/>
    </row>
    <row r="4" spans="1:6" s="2" customFormat="1" ht="25.5">
      <c r="A4" s="8"/>
      <c r="B4" s="4" t="s">
        <v>6</v>
      </c>
      <c r="C4" s="4" t="s">
        <v>6</v>
      </c>
      <c r="D4" s="4" t="s">
        <v>7</v>
      </c>
      <c r="E4" s="4" t="s">
        <v>8</v>
      </c>
      <c r="F4" s="8"/>
    </row>
    <row r="5" spans="1:6">
      <c r="A5" s="9"/>
      <c r="B5" s="5" t="s">
        <v>9</v>
      </c>
      <c r="C5" s="5">
        <v>1</v>
      </c>
      <c r="D5" s="6">
        <v>5.2199999999999998E-3</v>
      </c>
      <c r="E5" s="3" t="s">
        <v>10</v>
      </c>
      <c r="F5" s="9"/>
    </row>
    <row r="6" spans="1:6" ht="25.5">
      <c r="A6" s="9"/>
      <c r="B6" s="5" t="s">
        <v>11</v>
      </c>
      <c r="C6" s="5">
        <v>2</v>
      </c>
      <c r="D6" s="7">
        <v>1.044E-2</v>
      </c>
      <c r="E6" s="3" t="s">
        <v>12</v>
      </c>
      <c r="F6" s="9"/>
    </row>
    <row r="7" spans="1:6">
      <c r="A7" s="9"/>
      <c r="B7" s="5" t="s">
        <v>13</v>
      </c>
      <c r="C7" s="5">
        <v>3</v>
      </c>
      <c r="D7" s="7">
        <v>2.436E-2</v>
      </c>
      <c r="E7" s="3" t="s">
        <v>14</v>
      </c>
      <c r="F7" s="9"/>
    </row>
    <row r="8" spans="1:6" ht="25.5">
      <c r="A8" s="9"/>
      <c r="B8" s="5" t="s">
        <v>15</v>
      </c>
      <c r="C8" s="5">
        <v>4</v>
      </c>
      <c r="D8" s="7">
        <v>4.3499999999999997E-2</v>
      </c>
      <c r="E8" s="3" t="s">
        <v>16</v>
      </c>
      <c r="F8" s="9"/>
    </row>
    <row r="9" spans="1:6" ht="25.5">
      <c r="A9" s="9"/>
      <c r="B9" s="5" t="s">
        <v>17</v>
      </c>
      <c r="C9" s="5">
        <v>5</v>
      </c>
      <c r="D9" s="7">
        <v>6.9599999999999995E-2</v>
      </c>
      <c r="E9" s="3" t="s">
        <v>18</v>
      </c>
      <c r="F9" s="9"/>
    </row>
    <row r="10" spans="1:6" ht="57.75" customHeight="1">
      <c r="A10" s="9"/>
      <c r="B10" s="9"/>
      <c r="C10" s="9"/>
      <c r="D10" s="9"/>
      <c r="E10" s="9"/>
      <c r="F10" s="9"/>
    </row>
    <row r="11" spans="1:6" hidden="1"/>
    <row r="12" spans="1:6" hidden="1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2:H12"/>
  <sheetViews>
    <sheetView showGridLines="0" workbookViewId="0">
      <selection activeCell="B18" sqref="B18"/>
    </sheetView>
  </sheetViews>
  <sheetFormatPr baseColWidth="10" defaultRowHeight="15"/>
  <cols>
    <col min="1" max="1" width="11.42578125" style="19"/>
    <col min="2" max="2" width="27.5703125" style="19" bestFit="1" customWidth="1"/>
    <col min="3" max="3" width="5.28515625" style="19" bestFit="1" customWidth="1"/>
    <col min="4" max="4" width="11.42578125" style="19" bestFit="1" customWidth="1"/>
    <col min="5" max="5" width="6.7109375" style="19" bestFit="1" customWidth="1"/>
    <col min="6" max="16384" width="11.42578125" style="19"/>
  </cols>
  <sheetData>
    <row r="2" spans="1:8">
      <c r="B2" s="20" t="s">
        <v>22</v>
      </c>
      <c r="C2" s="21"/>
      <c r="D2" s="21"/>
      <c r="E2" s="21"/>
      <c r="F2" s="21"/>
      <c r="G2" s="21"/>
    </row>
    <row r="3" spans="1:8">
      <c r="B3" s="22" t="s">
        <v>4</v>
      </c>
      <c r="C3" s="23" t="s">
        <v>23</v>
      </c>
      <c r="D3" s="24" t="s">
        <v>25</v>
      </c>
      <c r="E3" s="23" t="s">
        <v>2</v>
      </c>
      <c r="F3" s="24" t="s">
        <v>24</v>
      </c>
      <c r="G3" s="24" t="s">
        <v>26</v>
      </c>
    </row>
    <row r="4" spans="1:8">
      <c r="B4" s="21" t="s">
        <v>0</v>
      </c>
      <c r="C4" s="21"/>
      <c r="D4" s="25">
        <f>Calcula_tu_pago!B5</f>
        <v>0</v>
      </c>
      <c r="E4" s="26">
        <v>1</v>
      </c>
      <c r="F4" s="25"/>
      <c r="G4" s="25"/>
    </row>
    <row r="5" spans="1:8">
      <c r="B5" s="21" t="s">
        <v>1</v>
      </c>
      <c r="C5" s="21"/>
      <c r="D5" s="25">
        <f>ROUND($D$4*E5,-2)</f>
        <v>0</v>
      </c>
      <c r="E5" s="27">
        <v>0.12502628888034753</v>
      </c>
      <c r="F5" s="25" t="b">
        <v>0</v>
      </c>
      <c r="G5" s="25">
        <f>IF(F5=TRUE,D5,0)</f>
        <v>0</v>
      </c>
      <c r="H5" s="28"/>
    </row>
    <row r="6" spans="1:8">
      <c r="B6" s="21" t="s">
        <v>3</v>
      </c>
      <c r="C6" s="21"/>
      <c r="D6" s="25">
        <f>IF(D4=689455,110313,D4*E6)</f>
        <v>0</v>
      </c>
      <c r="E6" s="27">
        <v>0.16000029008419694</v>
      </c>
      <c r="F6" s="25" t="b">
        <v>0</v>
      </c>
      <c r="G6" s="25">
        <f>IF(F6=TRUE,D6,0)</f>
        <v>0</v>
      </c>
      <c r="H6" s="28"/>
    </row>
    <row r="7" spans="1:8">
      <c r="A7" s="19">
        <v>1</v>
      </c>
      <c r="B7" s="21" t="s">
        <v>19</v>
      </c>
      <c r="D7" s="25">
        <f>ROUND($D$4*E7,-2)</f>
        <v>0</v>
      </c>
      <c r="E7" s="29">
        <f>VLOOKUP(A7,Tabla_Riesgos!C5:D9,2,0)</f>
        <v>5.2199999999999998E-3</v>
      </c>
      <c r="F7" s="25" t="b">
        <v>0</v>
      </c>
      <c r="G7" s="25">
        <f>IF(F7=TRUE,D7,0)</f>
        <v>0</v>
      </c>
    </row>
    <row r="8" spans="1:8">
      <c r="A8" s="19">
        <v>1</v>
      </c>
      <c r="B8" s="21" t="s">
        <v>5</v>
      </c>
      <c r="C8" s="21"/>
      <c r="D8" s="25">
        <f>ROUND($D$4*E8,-2)</f>
        <v>0</v>
      </c>
      <c r="E8" s="27">
        <f>VLOOKUP(A8,A11:B12,2,0)</f>
        <v>0.04</v>
      </c>
      <c r="F8" s="25" t="b">
        <v>0</v>
      </c>
      <c r="G8" s="25">
        <f>IF(F8=TRUE,D8,0)</f>
        <v>0</v>
      </c>
    </row>
    <row r="9" spans="1:8">
      <c r="B9" s="22" t="s">
        <v>20</v>
      </c>
      <c r="C9" s="21"/>
      <c r="D9" s="30"/>
      <c r="E9" s="21"/>
      <c r="F9" s="21"/>
      <c r="G9" s="30">
        <f>SUM(G5:G8)</f>
        <v>0</v>
      </c>
    </row>
    <row r="11" spans="1:8">
      <c r="A11" s="19">
        <v>1</v>
      </c>
      <c r="B11" s="27">
        <v>0.04</v>
      </c>
    </row>
    <row r="12" spans="1:8">
      <c r="A12" s="19">
        <v>2</v>
      </c>
      <c r="B12" s="27">
        <v>6.0000000000000001E-3</v>
      </c>
    </row>
  </sheetData>
  <dataValidations count="1">
    <dataValidation type="whole" allowBlank="1" showInputMessage="1" showErrorMessage="1" prompt="22" sqref="A7">
      <formula1>1</formula1>
      <formula2>5</formula2>
    </dataValidation>
  </dataValidations>
  <pageMargins left="0.7" right="0.7" top="0.75" bottom="0.75" header="0.3" footer="0.3"/>
  <ignoredErrors>
    <ignoredError sqref="D6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Calcula_tu_pago</vt:lpstr>
      <vt:lpstr>Tabla_Riesgos</vt:lpstr>
      <vt:lpstr>Calculo</vt:lpstr>
      <vt:lpstr>TARIFA​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epalacios</dc:creator>
  <cp:lastModifiedBy>epalacios</cp:lastModifiedBy>
  <dcterms:created xsi:type="dcterms:W3CDTF">2016-02-29T12:53:33Z</dcterms:created>
  <dcterms:modified xsi:type="dcterms:W3CDTF">2016-04-01T12:32:33Z</dcterms:modified>
</cp:coreProperties>
</file>